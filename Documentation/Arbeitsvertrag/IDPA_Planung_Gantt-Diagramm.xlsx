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xr:revisionPtr revIDLastSave="0" documentId="13_ncr:11_{38C41999-9EEE-46EF-8EEF-0BA53E129515}" xr6:coauthVersionLast="47" xr6:coauthVersionMax="47" xr10:uidLastSave="{00000000-0000-0000-0000-000000000000}"/>
  <bookViews>
    <workbookView xWindow="-93" yWindow="-93" windowWidth="25786" windowHeight="13866" xr2:uid="{00000000-000D-0000-FFFF-FFFF00000000}"/>
  </bookViews>
  <sheets>
    <sheet name="Projektplan" sheetId="11" r:id="rId1"/>
  </sheets>
  <definedNames>
    <definedName name="Anzeigewoche">Projektplan!$E$4</definedName>
    <definedName name="_xlnm.Print_Titles" localSheetId="0">Projektplan!$4:$6</definedName>
    <definedName name="Heute" localSheetId="0">TODAY()</definedName>
    <definedName name="Projektanfang">Projektplan!$E$3</definedName>
    <definedName name="task_end" localSheetId="0">Projektplan!$F1</definedName>
    <definedName name="task_progress" localSheetId="0">Projektplan!$D1</definedName>
    <definedName name="task_start" localSheetId="0">Projektplan!$E1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9" i="11" l="1"/>
  <c r="F39" i="11"/>
  <c r="D39" i="11"/>
  <c r="F10" i="11"/>
  <c r="F18" i="11"/>
  <c r="E20" i="11"/>
  <c r="D34" i="11"/>
  <c r="F15" i="11"/>
  <c r="E17" i="11" s="1"/>
  <c r="E34" i="11" s="1"/>
  <c r="D15" i="11"/>
  <c r="F12" i="11"/>
  <c r="E3" i="11"/>
  <c r="H7" i="11"/>
  <c r="E9" i="11" l="1"/>
  <c r="E24" i="11" l="1"/>
  <c r="F20" i="11"/>
  <c r="F9" i="11"/>
  <c r="E15" i="11"/>
  <c r="I5" i="11"/>
  <c r="I6" i="11" s="1"/>
  <c r="H41" i="11"/>
  <c r="H40" i="11"/>
  <c r="H35" i="11"/>
  <c r="H16" i="11"/>
  <c r="H8" i="11"/>
  <c r="E26" i="11" l="1"/>
  <c r="F24" i="11"/>
  <c r="H9" i="11"/>
  <c r="E28" i="11" l="1"/>
  <c r="F26" i="11"/>
  <c r="H38" i="11"/>
  <c r="H10" i="11"/>
  <c r="H36" i="11"/>
  <c r="H17" i="11"/>
  <c r="H14" i="11"/>
  <c r="J5" i="11"/>
  <c r="I4" i="11"/>
  <c r="E31" i="11" l="1"/>
  <c r="F28" i="11"/>
  <c r="K5" i="11"/>
  <c r="J6" i="11"/>
  <c r="H37" i="11"/>
  <c r="H20" i="11"/>
  <c r="H12" i="11"/>
  <c r="H13" i="11"/>
  <c r="E33" i="11" l="1"/>
  <c r="F33" i="11" s="1"/>
  <c r="F34" i="11" s="1"/>
  <c r="F31" i="11"/>
  <c r="L5" i="11"/>
  <c r="K6" i="11"/>
  <c r="H26" i="11"/>
  <c r="H24" i="11"/>
  <c r="H33" i="11" l="1"/>
  <c r="M5" i="11"/>
  <c r="L6" i="11"/>
  <c r="N5" i="11" l="1"/>
  <c r="M6" i="11"/>
  <c r="O5" i="11" l="1"/>
  <c r="N6" i="11"/>
  <c r="P5" i="11" l="1"/>
  <c r="O6" i="11"/>
  <c r="P6" i="11" l="1"/>
  <c r="P4" i="11"/>
  <c r="Q5" i="11"/>
  <c r="R5" i="11" l="1"/>
  <c r="Q6" i="11"/>
  <c r="S5" i="11" l="1"/>
  <c r="R6" i="11"/>
  <c r="T5" i="11" l="1"/>
  <c r="S6" i="11"/>
  <c r="U5" i="11" l="1"/>
  <c r="T6" i="11"/>
  <c r="V5" i="11" l="1"/>
  <c r="U6" i="11"/>
  <c r="W5" i="11" l="1"/>
  <c r="V6" i="11"/>
  <c r="W6" i="11" l="1"/>
  <c r="W4" i="11"/>
  <c r="X5" i="11"/>
  <c r="Y5" i="11" l="1"/>
  <c r="X6" i="11"/>
  <c r="Z5" i="11" l="1"/>
  <c r="Y6" i="11"/>
  <c r="AA5" i="11" l="1"/>
  <c r="Z6" i="11"/>
  <c r="AB5" i="11" l="1"/>
  <c r="AA6" i="11"/>
  <c r="AC5" i="11" l="1"/>
  <c r="AB6" i="11"/>
  <c r="AD5" i="11" l="1"/>
  <c r="AC6" i="11"/>
  <c r="AD6" i="11" l="1"/>
  <c r="AE5" i="11"/>
  <c r="AD4" i="11"/>
  <c r="AF5" i="11" l="1"/>
  <c r="AE6" i="11"/>
  <c r="AG5" i="11" l="1"/>
  <c r="AF6" i="11"/>
  <c r="AH5" i="11" l="1"/>
  <c r="AG6" i="11"/>
  <c r="AI5" i="11" l="1"/>
  <c r="AH6" i="11"/>
  <c r="AJ5" i="11" l="1"/>
  <c r="AI6" i="11"/>
  <c r="AJ6" i="11" l="1"/>
  <c r="AK5" i="11"/>
  <c r="AL5" i="11" l="1"/>
  <c r="AK6" i="11"/>
  <c r="AK4" i="11"/>
  <c r="AM5" i="11" l="1"/>
  <c r="AL6" i="11"/>
  <c r="AN5" i="11" l="1"/>
  <c r="AM6" i="11"/>
  <c r="AO5" i="11" l="1"/>
  <c r="AN6" i="11"/>
  <c r="AP5" i="11" l="1"/>
  <c r="AO6" i="11"/>
  <c r="AQ5" i="11" l="1"/>
  <c r="AP6" i="11"/>
  <c r="AQ6" i="11" l="1"/>
  <c r="AR5" i="11"/>
  <c r="AS5" i="11" l="1"/>
  <c r="AR6" i="11"/>
  <c r="AR4" i="11"/>
  <c r="AS6" i="11" l="1"/>
  <c r="AT5" i="11"/>
  <c r="AT6" i="11" l="1"/>
  <c r="AU5" i="11"/>
  <c r="AU6" i="11" l="1"/>
  <c r="AV5" i="11"/>
  <c r="AV6" i="11" l="1"/>
  <c r="AW5" i="11"/>
  <c r="AW6" i="11" l="1"/>
  <c r="AX5" i="11"/>
  <c r="AY5" i="11" l="1"/>
  <c r="AX6" i="11"/>
  <c r="AY6" i="11" l="1"/>
  <c r="AZ5" i="11"/>
  <c r="AY4" i="11"/>
  <c r="AZ6" i="11" l="1"/>
  <c r="BA5" i="11"/>
  <c r="BA6" i="11" l="1"/>
  <c r="BB5" i="11"/>
  <c r="BB6" i="11" l="1"/>
  <c r="BC5" i="11"/>
  <c r="BC6" i="11" l="1"/>
  <c r="BD5" i="11"/>
  <c r="BD6" i="11" l="1"/>
  <c r="BE5" i="11"/>
  <c r="BE6" i="11" l="1"/>
  <c r="BF5" i="11"/>
  <c r="BF6" i="11" l="1"/>
  <c r="BG5" i="11"/>
  <c r="BF4" i="11"/>
  <c r="BG6" i="11" l="1"/>
  <c r="BH5" i="11"/>
  <c r="BH6" i="11" l="1"/>
  <c r="BI5" i="11"/>
  <c r="BI6" i="11" l="1"/>
  <c r="BJ5" i="11"/>
  <c r="BJ6" i="11" l="1"/>
  <c r="BK5" i="11"/>
  <c r="BK6" i="11" l="1"/>
  <c r="BL5" i="11"/>
  <c r="BL6" i="11" s="1"/>
</calcChain>
</file>

<file path=xl/sharedStrings.xml><?xml version="1.0" encoding="utf-8"?>
<sst xmlns="http://schemas.openxmlformats.org/spreadsheetml/2006/main" count="81" uniqueCount="54">
  <si>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</si>
  <si>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Geben Sie den Firmennamen in Zelle B2 ein.</t>
  </si>
  <si>
    <t>Geben Sie den Namen des Projektleiters in Zelle B3 ein. Geben Sie das Startdatum für das Projekt in Zelle E3 ein. Start des Projekts: Die Bezeichnung steht in Zelle C3.</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</si>
  <si>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</si>
  <si>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</si>
  <si>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</si>
  <si>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</si>
  <si>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</si>
  <si>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</si>
  <si>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</si>
  <si>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</si>
  <si>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Titelblock für Beispielphase</t>
  </si>
  <si>
    <t>Dies ist eine leere Zeile.</t>
  </si>
  <si>
    <t>Diese Zeile kennzeichnet das Ende des Projektplans. Geben Sie in dieser Zeile NICHTS EIN. 
Fügen Sie ÜBER dieser Zeile neue Zeilen ein, um mit der Erstellung Ihres Projektplans fortzufahren.</t>
  </si>
  <si>
    <t>AUFGABE</t>
  </si>
  <si>
    <t>Neue Zeilen ÜBER dieser einfügen</t>
  </si>
  <si>
    <t>Projektanfang:</t>
  </si>
  <si>
    <t>Anzeigewoche:</t>
  </si>
  <si>
    <t>ZUGEWIESEN
AN</t>
  </si>
  <si>
    <t>FORTSCHRITT</t>
  </si>
  <si>
    <t>START</t>
  </si>
  <si>
    <t>ENDE</t>
  </si>
  <si>
    <t>TAGE</t>
  </si>
  <si>
    <t>Kantonsschule Hottingen</t>
  </si>
  <si>
    <t>Gruppe 3</t>
  </si>
  <si>
    <t>Phase 1 - Planung</t>
  </si>
  <si>
    <t>Phase 2 - Realisieren</t>
  </si>
  <si>
    <t>Phase 3 - Abschluss</t>
  </si>
  <si>
    <t>Raspberry PI beschaffen</t>
  </si>
  <si>
    <t>Alle</t>
  </si>
  <si>
    <t>Umfrage</t>
  </si>
  <si>
    <t>IDPA - Abfahrtsbildschirm</t>
  </si>
  <si>
    <t>Arbeitsjournal Strukturieren</t>
  </si>
  <si>
    <t>Dokumentation Aufsetzen</t>
  </si>
  <si>
    <t>Robin</t>
  </si>
  <si>
    <t>Abgabe (Projekt, Dokumentation)</t>
  </si>
  <si>
    <t>Arbeitseintelung PSP</t>
  </si>
  <si>
    <t>Technologienauswahl</t>
  </si>
  <si>
    <t>1. Journal &amp; Dokumentation Weiterführen</t>
  </si>
  <si>
    <t>2. Journal &amp; Dokumentation Weiterführen</t>
  </si>
  <si>
    <t>3. Journal &amp; Dokumentation Weiterführen</t>
  </si>
  <si>
    <t>4. Journal &amp; Dokumentation Weiterführen</t>
  </si>
  <si>
    <t>5. Journal &amp; Dokumentation Weiterführen</t>
  </si>
  <si>
    <t>6. Journal &amp; Dokumentation Weiterführen</t>
  </si>
  <si>
    <t>7. Journal &amp; Dokumentation Weiterführen</t>
  </si>
  <si>
    <t>Erstes Zwischengespräch (Datum offen)</t>
  </si>
  <si>
    <t>Programmieren</t>
  </si>
  <si>
    <t>Design planen</t>
  </si>
  <si>
    <t>Robin, Matthias</t>
  </si>
  <si>
    <t>Léontine</t>
  </si>
  <si>
    <t>Alle, LP</t>
  </si>
  <si>
    <t>Zweites Zwischengespräch (Datum offen)</t>
  </si>
  <si>
    <t>Überprüfung Abgaben</t>
  </si>
  <si>
    <t>Abschlussgespräch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</si>
</sst>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m\.yy;@"/>
    <numFmt numFmtId="169" formatCode="ddd\,\ d/m/yyyy"/>
    <numFmt numFmtId="170" formatCode="d/m/yy;@"/>
    <numFmt numFmtId="171" formatCode="d/\ mmm\ yyyy"/>
    <numFmt numFmtId="172" formatCode="d"/>
  </numFmts>
  <fonts count="32"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s>
  <fills count="4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theme="0" tint="-0.14996795556505021"/>
      </top>
      <bottom style="thin">
        <color indexed="64"/>
      </bottom>
      <diagonal/>
    </border>
    <border>
      <left/>
      <right/>
      <top/>
      <bottom style="medium">
        <color theme="0" tint="-0.14996795556505021"/>
      </bottom>
      <diagonal/>
    </border>
    <border>
      <left/>
      <right/>
      <top style="medium">
        <color theme="0" tint="-0.14996795556505021"/>
      </top>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7"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9" fontId="9" fillId="0" borderId="3">
      <alignment horizontal="center" vertical="center"/>
    </xf>
    <xf numFmtId="170"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9"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0" fillId="0" borderId="0" applyNumberFormat="0" applyFill="0" applyBorder="0" applyAlignment="0" applyProtection="0"/>
    <xf numFmtId="0" fontId="21" fillId="12" borderId="0" applyNumberFormat="0" applyBorder="0" applyAlignment="0" applyProtection="0"/>
    <xf numFmtId="0" fontId="22" fillId="13" borderId="0" applyNumberFormat="0" applyBorder="0" applyAlignment="0" applyProtection="0"/>
    <xf numFmtId="0" fontId="23" fillId="14" borderId="0" applyNumberFormat="0" applyBorder="0" applyAlignment="0" applyProtection="0"/>
    <xf numFmtId="0" fontId="24" fillId="15" borderId="11" applyNumberFormat="0" applyAlignment="0" applyProtection="0"/>
    <xf numFmtId="0" fontId="25" fillId="16" borderId="12" applyNumberFormat="0" applyAlignment="0" applyProtection="0"/>
    <xf numFmtId="0" fontId="26" fillId="16" borderId="11" applyNumberFormat="0" applyAlignment="0" applyProtection="0"/>
    <xf numFmtId="0" fontId="27" fillId="0" borderId="13" applyNumberFormat="0" applyFill="0" applyAlignment="0" applyProtection="0"/>
    <xf numFmtId="0" fontId="28" fillId="17" borderId="14" applyNumberFormat="0" applyAlignment="0" applyProtection="0"/>
    <xf numFmtId="0" fontId="29" fillId="0" borderId="0" applyNumberFormat="0" applyFill="0" applyBorder="0" applyAlignment="0" applyProtection="0"/>
    <xf numFmtId="0" fontId="9" fillId="18" borderId="15" applyNumberFormat="0" applyFont="0" applyAlignment="0" applyProtection="0"/>
    <xf numFmtId="0" fontId="30" fillId="0" borderId="0" applyNumberFormat="0" applyFill="0" applyBorder="0" applyAlignment="0" applyProtection="0"/>
    <xf numFmtId="0" fontId="6" fillId="0" borderId="16" applyNumberFormat="0" applyFill="0" applyAlignment="0" applyProtection="0"/>
    <xf numFmtId="0" fontId="16"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16"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16"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16"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16"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xf numFmtId="0" fontId="16" fillId="39" borderId="0" applyNumberFormat="0" applyBorder="0" applyAlignment="0" applyProtection="0"/>
    <xf numFmtId="0" fontId="9" fillId="40" borderId="0" applyNumberFormat="0" applyBorder="0" applyAlignment="0" applyProtection="0"/>
    <xf numFmtId="0" fontId="9" fillId="41" borderId="0" applyNumberFormat="0" applyBorder="0" applyAlignment="0" applyProtection="0"/>
    <xf numFmtId="0" fontId="9" fillId="42" borderId="0" applyNumberFormat="0" applyBorder="0" applyAlignment="0" applyProtection="0"/>
  </cellStyleXfs>
  <cellXfs count="101">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1" borderId="1" xfId="0" applyFont="1" applyFill="1" applyBorder="1" applyAlignment="1">
      <alignment horizontal="left" vertical="center" indent="1"/>
    </xf>
    <xf numFmtId="0" fontId="7" fillId="11" borderId="1" xfId="0" applyFont="1" applyFill="1" applyBorder="1" applyAlignment="1">
      <alignment horizontal="center" vertical="center" wrapText="1"/>
    </xf>
    <xf numFmtId="0" fontId="12" fillId="10"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7" borderId="2" xfId="0" applyFont="1" applyFill="1" applyBorder="1" applyAlignment="1">
      <alignment horizontal="left" vertical="center" indent="1"/>
    </xf>
    <xf numFmtId="9" fontId="5" fillId="7"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9"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7" borderId="2" xfId="11" applyFill="1">
      <alignment horizontal="center" vertical="center"/>
    </xf>
    <xf numFmtId="0" fontId="9" fillId="3" borderId="2" xfId="11" applyFill="1">
      <alignment horizontal="center" vertical="center"/>
    </xf>
    <xf numFmtId="0" fontId="9" fillId="8" borderId="2" xfId="11" applyFill="1">
      <alignment horizontal="center" vertical="center"/>
    </xf>
    <xf numFmtId="0" fontId="9" fillId="4" borderId="2" xfId="11" applyFill="1">
      <alignment horizontal="center" vertical="center"/>
    </xf>
    <xf numFmtId="0" fontId="9" fillId="5" borderId="2" xfId="11" applyFill="1">
      <alignment horizontal="center" vertical="center"/>
    </xf>
    <xf numFmtId="0" fontId="9" fillId="9"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9" borderId="2" xfId="12" applyFill="1">
      <alignment horizontal="left" vertical="center" indent="2"/>
    </xf>
    <xf numFmtId="0" fontId="9" fillId="0" borderId="2" xfId="12">
      <alignment horizontal="left" vertical="center" indent="2"/>
    </xf>
    <xf numFmtId="0" fontId="0" fillId="0" borderId="10" xfId="0" applyBorder="1"/>
    <xf numFmtId="0" fontId="17" fillId="0" borderId="0" xfId="0" applyFont="1"/>
    <xf numFmtId="0" fontId="18" fillId="0" borderId="0" xfId="1" applyFont="1" applyProtection="1">
      <alignment vertical="top"/>
    </xf>
    <xf numFmtId="168" fontId="0" fillId="7" borderId="2" xfId="0" applyNumberFormat="1" applyFill="1" applyBorder="1" applyAlignment="1">
      <alignment horizontal="center" vertical="center"/>
    </xf>
    <xf numFmtId="168" fontId="5" fillId="7" borderId="2" xfId="0" applyNumberFormat="1" applyFont="1" applyFill="1" applyBorder="1" applyAlignment="1">
      <alignment horizontal="center" vertical="center"/>
    </xf>
    <xf numFmtId="168" fontId="9" fillId="3" borderId="2" xfId="10" applyNumberFormat="1" applyFill="1">
      <alignment horizontal="center" vertical="center"/>
    </xf>
    <xf numFmtId="168" fontId="0" fillId="8" borderId="2" xfId="0" applyNumberFormat="1" applyFill="1" applyBorder="1" applyAlignment="1">
      <alignment horizontal="center" vertical="center"/>
    </xf>
    <xf numFmtId="168" fontId="5" fillId="8" borderId="2" xfId="0" applyNumberFormat="1" applyFont="1" applyFill="1" applyBorder="1" applyAlignment="1">
      <alignment horizontal="center" vertical="center"/>
    </xf>
    <xf numFmtId="168" fontId="9" fillId="4" borderId="2" xfId="10" applyNumberFormat="1" applyFill="1">
      <alignment horizontal="center" vertical="center"/>
    </xf>
    <xf numFmtId="168" fontId="0" fillId="5" borderId="2" xfId="0" applyNumberFormat="1" applyFill="1" applyBorder="1" applyAlignment="1">
      <alignment horizontal="center" vertical="center"/>
    </xf>
    <xf numFmtId="168" fontId="5" fillId="5" borderId="2" xfId="0" applyNumberFormat="1" applyFont="1" applyFill="1" applyBorder="1" applyAlignment="1">
      <alignment horizontal="center" vertical="center"/>
    </xf>
    <xf numFmtId="168" fontId="9" fillId="9" borderId="2" xfId="10" applyNumberFormat="1" applyFill="1">
      <alignment horizontal="center" vertical="center"/>
    </xf>
    <xf numFmtId="168" fontId="9" fillId="0" borderId="2" xfId="10" applyNumberFormat="1">
      <alignment horizontal="center" vertical="center"/>
    </xf>
    <xf numFmtId="168" fontId="4" fillId="2" borderId="2" xfId="0" applyNumberFormat="1" applyFont="1" applyFill="1" applyBorder="1" applyAlignment="1">
      <alignment horizontal="left" vertical="center"/>
    </xf>
    <xf numFmtId="168" fontId="5" fillId="2" borderId="2" xfId="0" applyNumberFormat="1" applyFont="1" applyFill="1" applyBorder="1" applyAlignment="1">
      <alignment horizontal="center" vertical="center"/>
    </xf>
    <xf numFmtId="172" fontId="11" fillId="6" borderId="6" xfId="0" applyNumberFormat="1" applyFont="1" applyFill="1" applyBorder="1" applyAlignment="1">
      <alignment horizontal="center" vertical="center"/>
    </xf>
    <xf numFmtId="172" fontId="11" fillId="6" borderId="0" xfId="0" applyNumberFormat="1" applyFont="1" applyFill="1" applyAlignment="1">
      <alignment horizontal="center" vertical="center"/>
    </xf>
    <xf numFmtId="172" fontId="11" fillId="6" borderId="7" xfId="0" applyNumberFormat="1" applyFont="1" applyFill="1" applyBorder="1" applyAlignment="1">
      <alignment horizontal="center" vertical="center"/>
    </xf>
    <xf numFmtId="0" fontId="9" fillId="0" borderId="0" xfId="8">
      <alignment horizontal="right" indent="1"/>
    </xf>
    <xf numFmtId="0" fontId="9" fillId="0" borderId="7" xfId="8" applyBorder="1">
      <alignment horizontal="right" indent="1"/>
    </xf>
    <xf numFmtId="171" fontId="0" fillId="6" borderId="4" xfId="0" applyNumberFormat="1" applyFill="1" applyBorder="1" applyAlignment="1">
      <alignment horizontal="left" vertical="center" wrapText="1" indent="1"/>
    </xf>
    <xf numFmtId="171" fontId="0" fillId="6" borderId="1" xfId="0" applyNumberFormat="1" applyFill="1" applyBorder="1" applyAlignment="1">
      <alignment horizontal="left" vertical="center" wrapText="1" indent="1"/>
    </xf>
    <xf numFmtId="171" fontId="0" fillId="6" borderId="5" xfId="0" applyNumberFormat="1" applyFill="1" applyBorder="1" applyAlignment="1">
      <alignment horizontal="left" vertical="center" wrapText="1" indent="1"/>
    </xf>
    <xf numFmtId="169" fontId="9" fillId="0" borderId="3" xfId="9">
      <alignment horizontal="center" vertical="center"/>
    </xf>
    <xf numFmtId="0" fontId="9" fillId="0" borderId="0" xfId="8" applyFill="1">
      <alignment horizontal="right" indent="1"/>
    </xf>
    <xf numFmtId="0" fontId="9" fillId="0" borderId="7" xfId="8" applyFill="1" applyBorder="1">
      <alignment horizontal="right" indent="1"/>
    </xf>
    <xf numFmtId="0" fontId="6" fillId="3" borderId="18" xfId="12" applyFont="1" applyFill="1" applyBorder="1">
      <alignment horizontal="left" vertical="center" indent="2"/>
    </xf>
    <xf numFmtId="0" fontId="6" fillId="3" borderId="18" xfId="11" applyFont="1" applyFill="1" applyBorder="1">
      <alignment horizontal="center" vertical="center"/>
    </xf>
    <xf numFmtId="9" fontId="17" fillId="3" borderId="18" xfId="2" applyFont="1" applyFill="1" applyBorder="1" applyAlignment="1">
      <alignment horizontal="center" vertical="center"/>
    </xf>
    <xf numFmtId="168" fontId="6" fillId="3" borderId="18" xfId="10" applyNumberFormat="1" applyFont="1" applyFill="1" applyBorder="1">
      <alignment horizontal="center" vertical="center"/>
    </xf>
    <xf numFmtId="0" fontId="9" fillId="3" borderId="17" xfId="12" applyFill="1" applyBorder="1">
      <alignment horizontal="left" vertical="center" indent="2"/>
    </xf>
    <xf numFmtId="0" fontId="9" fillId="3" borderId="17" xfId="11" applyFill="1" applyBorder="1">
      <alignment horizontal="center" vertical="center"/>
    </xf>
    <xf numFmtId="9" fontId="5" fillId="3" borderId="17" xfId="2" applyFont="1" applyFill="1" applyBorder="1" applyAlignment="1">
      <alignment horizontal="center" vertical="center"/>
    </xf>
    <xf numFmtId="168" fontId="9" fillId="3" borderId="17" xfId="10" applyNumberFormat="1" applyFill="1" applyBorder="1">
      <alignment horizontal="center" vertical="center"/>
    </xf>
    <xf numFmtId="0" fontId="9" fillId="4" borderId="17" xfId="12" applyFill="1" applyBorder="1">
      <alignment horizontal="left" vertical="center" indent="2"/>
    </xf>
    <xf numFmtId="0" fontId="9" fillId="4" borderId="17" xfId="11" applyFill="1" applyBorder="1">
      <alignment horizontal="center" vertical="center"/>
    </xf>
    <xf numFmtId="9" fontId="5" fillId="4" borderId="17" xfId="2" applyFont="1" applyFill="1" applyBorder="1" applyAlignment="1">
      <alignment horizontal="center" vertical="center"/>
    </xf>
    <xf numFmtId="168" fontId="9" fillId="4" borderId="17" xfId="10" applyNumberFormat="1" applyFill="1" applyBorder="1">
      <alignment horizontal="center" vertical="center"/>
    </xf>
    <xf numFmtId="0" fontId="6" fillId="4" borderId="18" xfId="12" applyFont="1" applyFill="1" applyBorder="1">
      <alignment horizontal="left" vertical="center" indent="2"/>
    </xf>
    <xf numFmtId="0" fontId="6" fillId="4" borderId="18" xfId="11" applyFont="1" applyFill="1" applyBorder="1">
      <alignment horizontal="center" vertical="center"/>
    </xf>
    <xf numFmtId="9" fontId="17" fillId="4" borderId="18" xfId="2" applyFont="1" applyFill="1" applyBorder="1" applyAlignment="1">
      <alignment horizontal="center" vertical="center"/>
    </xf>
    <xf numFmtId="168" fontId="6" fillId="4" borderId="18" xfId="10" applyNumberFormat="1" applyFont="1" applyFill="1" applyBorder="1">
      <alignment horizontal="center" vertical="center"/>
    </xf>
    <xf numFmtId="9" fontId="5" fillId="4" borderId="19" xfId="2" applyFont="1" applyFill="1" applyBorder="1" applyAlignment="1">
      <alignment horizontal="center" vertical="center"/>
    </xf>
    <xf numFmtId="0" fontId="9" fillId="9" borderId="17" xfId="12" applyFill="1" applyBorder="1">
      <alignment horizontal="left" vertical="center" indent="2"/>
    </xf>
    <xf numFmtId="0" fontId="9" fillId="9" borderId="17" xfId="11" applyFill="1" applyBorder="1">
      <alignment horizontal="center" vertical="center"/>
    </xf>
    <xf numFmtId="9" fontId="5" fillId="9" borderId="17" xfId="2" applyFont="1" applyFill="1" applyBorder="1" applyAlignment="1">
      <alignment horizontal="center" vertical="center"/>
    </xf>
    <xf numFmtId="168" fontId="9" fillId="9" borderId="17" xfId="10" applyNumberFormat="1" applyFill="1" applyBorder="1">
      <alignment horizontal="center" vertical="center"/>
    </xf>
    <xf numFmtId="0" fontId="6" fillId="9" borderId="18" xfId="12" applyFont="1" applyFill="1" applyBorder="1">
      <alignment horizontal="left" vertical="center" indent="2"/>
    </xf>
    <xf numFmtId="0" fontId="6" fillId="9" borderId="18" xfId="11" applyFont="1" applyFill="1" applyBorder="1">
      <alignment horizontal="center" vertical="center"/>
    </xf>
    <xf numFmtId="9" fontId="17" fillId="9" borderId="18" xfId="2" applyFont="1" applyFill="1" applyBorder="1" applyAlignment="1">
      <alignment horizontal="center" vertical="center"/>
    </xf>
    <xf numFmtId="168" fontId="6" fillId="9" borderId="18" xfId="10" applyNumberFormat="1" applyFont="1" applyFill="1" applyBorder="1">
      <alignment horizontal="center" vertical="center"/>
    </xf>
  </cellXfs>
  <cellStyles count="54">
    <cellStyle name="20 % - Akzent1" xfId="31" builtinId="30" customBuiltin="1"/>
    <cellStyle name="20 % - Akzent2" xfId="35" builtinId="34" customBuiltin="1"/>
    <cellStyle name="20 % - Akzent3" xfId="39" builtinId="38" customBuiltin="1"/>
    <cellStyle name="20 % - Akzent4" xfId="43" builtinId="42" customBuiltin="1"/>
    <cellStyle name="20 % - Akzent5" xfId="47" builtinId="46" customBuiltin="1"/>
    <cellStyle name="20 % - Akzent6" xfId="51" builtinId="50" customBuiltin="1"/>
    <cellStyle name="40 % - Akzent1" xfId="32" builtinId="31" customBuiltin="1"/>
    <cellStyle name="40 % - Akzent2" xfId="36" builtinId="35" customBuiltin="1"/>
    <cellStyle name="40 % - Akzent3" xfId="40" builtinId="39" customBuiltin="1"/>
    <cellStyle name="40 % - Akzent4" xfId="44" builtinId="43" customBuiltin="1"/>
    <cellStyle name="40 % - Akzent5" xfId="48" builtinId="47" customBuiltin="1"/>
    <cellStyle name="40 % - Akzent6" xfId="52" builtinId="51" customBuiltin="1"/>
    <cellStyle name="60 % - Akzent1" xfId="33" builtinId="32" customBuiltin="1"/>
    <cellStyle name="60 % - Akzent2" xfId="37" builtinId="36" customBuiltin="1"/>
    <cellStyle name="60 % - Akzent3" xfId="41" builtinId="40" customBuiltin="1"/>
    <cellStyle name="60 % - Akzent4" xfId="45" builtinId="44" customBuiltin="1"/>
    <cellStyle name="60 % - Akzent5" xfId="49" builtinId="48" customBuiltin="1"/>
    <cellStyle name="60 % - Akzent6" xfId="53" builtinId="52" customBuiltin="1"/>
    <cellStyle name="Akzent1" xfId="30" builtinId="29" customBuiltin="1"/>
    <cellStyle name="Akzent2" xfId="34" builtinId="33" customBuiltin="1"/>
    <cellStyle name="Akzent3" xfId="38" builtinId="37" customBuiltin="1"/>
    <cellStyle name="Akzent4" xfId="42" builtinId="41" customBuiltin="1"/>
    <cellStyle name="Akzent5" xfId="46" builtinId="45" customBuiltin="1"/>
    <cellStyle name="Akzent6" xfId="50" builtinId="49" customBuiltin="1"/>
    <cellStyle name="Aufgabe" xfId="12" xr:uid="{6391D789-272B-4DD2-9BF3-2CDCF610FA41}"/>
    <cellStyle name="Ausgabe" xfId="22" builtinId="21" customBuiltin="1"/>
    <cellStyle name="Berechnung" xfId="23" builtinId="22" customBuiltin="1"/>
    <cellStyle name="Besuchter Hyperlink" xfId="13" builtinId="9" customBuiltin="1"/>
    <cellStyle name="Datum" xfId="10" xr:uid="{229918B6-DD13-4F5A-97B9-305F7E002AA3}"/>
    <cellStyle name="Dezimal [0]" xfId="14" builtinId="6" customBuiltin="1"/>
    <cellStyle name="Eingabe" xfId="21" builtinId="20" customBuiltin="1"/>
    <cellStyle name="Ergebnis" xfId="29" builtinId="25" customBuiltin="1"/>
    <cellStyle name="Erklärender Text" xfId="28" builtinId="53" customBuiltin="1"/>
    <cellStyle name="Gut" xfId="18" builtinId="26" customBuiltin="1"/>
    <cellStyle name="Komma" xfId="4" builtinId="3" customBuiltin="1"/>
    <cellStyle name="Link" xfId="1" builtinId="8" customBuiltin="1"/>
    <cellStyle name="Name" xfId="11" xr:uid="{B2D3C1EE-6B41-4801-AAFC-C2274E49E503}"/>
    <cellStyle name="Neutral" xfId="20" builtinId="28" customBuiltin="1"/>
    <cellStyle name="Notiz" xfId="27" builtinId="10" customBuiltin="1"/>
    <cellStyle name="Projektanfang" xfId="9" xr:uid="{8EB8A09A-C31C-40A3-B2C1-9449520178B8}"/>
    <cellStyle name="Prozent" xfId="2" builtinId="5" customBuiltin="1"/>
    <cellStyle name="Schlecht" xfId="19" builtinId="27" customBuiltin="1"/>
    <cellStyle name="Standard" xfId="0" builtinId="0" customBuiltin="1"/>
    <cellStyle name="Überschrift" xfId="5" builtinId="15" customBuiltin="1"/>
    <cellStyle name="Überschrift 1" xfId="6" builtinId="16" customBuiltin="1"/>
    <cellStyle name="Überschrift 2" xfId="7" builtinId="17" customBuiltin="1"/>
    <cellStyle name="Überschrift 3" xfId="8" builtinId="18" customBuiltin="1"/>
    <cellStyle name="Überschrift 4" xfId="17" builtinId="19" customBuiltin="1"/>
    <cellStyle name="Verknüpfte Zelle" xfId="24" builtinId="24" customBuiltin="1"/>
    <cellStyle name="Währung" xfId="15" builtinId="4" customBuiltin="1"/>
    <cellStyle name="Währung [0]" xfId="16" builtinId="7" customBuiltin="1"/>
    <cellStyle name="Warnender Text" xfId="26" builtinId="11" customBuiltin="1"/>
    <cellStyle name="zAusgeblText" xfId="3" xr:uid="{26E66EE6-E33F-4D77-BAE4-0FB4F5BBF673}"/>
    <cellStyle name="Zelle überprüfen" xfId="25" builtinId="23" customBuiltin="1"/>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4"/>
  <sheetViews>
    <sheetView showGridLines="0" tabSelected="1" showRuler="0" zoomScale="55" zoomScaleNormal="100" zoomScalePageLayoutView="70" workbookViewId="0">
      <pane ySplit="6" topLeftCell="A8" activePane="bottomLeft" state="frozen"/>
      <selection pane="bottomLeft" activeCell="BO31" sqref="BO31"/>
    </sheetView>
  </sheetViews>
  <sheetFormatPr baseColWidth="10" defaultColWidth="9.1171875" defaultRowHeight="30" customHeight="1" x14ac:dyDescent="0.5"/>
  <cols>
    <col min="1" max="1" width="2.703125" style="32" customWidth="1"/>
    <col min="2" max="2" width="41.05859375" customWidth="1"/>
    <col min="3" max="3" width="30.703125" customWidth="1"/>
    <col min="4" max="4" width="10.703125" customWidth="1"/>
    <col min="5" max="5" width="10.41015625" style="5" customWidth="1"/>
    <col min="6" max="6" width="10.41015625" customWidth="1"/>
    <col min="7" max="7" width="2.703125" customWidth="1"/>
    <col min="8" max="8" width="6.1171875" hidden="1" customWidth="1"/>
    <col min="9" max="64" width="2.5859375" customWidth="1"/>
    <col min="69" max="70" width="10.29296875"/>
  </cols>
  <sheetData>
    <row r="1" spans="1:64" ht="30" customHeight="1" x14ac:dyDescent="0.95">
      <c r="A1" s="33" t="s">
        <v>0</v>
      </c>
      <c r="B1" s="36" t="s">
        <v>31</v>
      </c>
      <c r="C1" s="1"/>
      <c r="D1" s="2"/>
      <c r="E1" s="4"/>
      <c r="F1" s="31"/>
      <c r="H1" s="2"/>
      <c r="I1" s="51"/>
    </row>
    <row r="2" spans="1:64" ht="30" customHeight="1" x14ac:dyDescent="0.6">
      <c r="A2" s="32" t="s">
        <v>1</v>
      </c>
      <c r="B2" s="37" t="s">
        <v>23</v>
      </c>
      <c r="I2" s="52"/>
    </row>
    <row r="3" spans="1:64" ht="30" customHeight="1" x14ac:dyDescent="0.5">
      <c r="A3" s="32" t="s">
        <v>2</v>
      </c>
      <c r="B3" s="38" t="s">
        <v>24</v>
      </c>
      <c r="C3" s="74" t="s">
        <v>16</v>
      </c>
      <c r="D3" s="75"/>
      <c r="E3" s="73">
        <f>DATE(2025, 3, 3)</f>
        <v>45719</v>
      </c>
      <c r="F3" s="73"/>
    </row>
    <row r="4" spans="1:64" ht="30" customHeight="1" x14ac:dyDescent="0.5">
      <c r="A4" s="33" t="s">
        <v>3</v>
      </c>
      <c r="C4" s="68" t="s">
        <v>17</v>
      </c>
      <c r="D4" s="69"/>
      <c r="E4" s="7">
        <v>0</v>
      </c>
      <c r="I4" s="70">
        <f>I5</f>
        <v>45712</v>
      </c>
      <c r="J4" s="71"/>
      <c r="K4" s="71"/>
      <c r="L4" s="71"/>
      <c r="M4" s="71"/>
      <c r="N4" s="71"/>
      <c r="O4" s="72"/>
      <c r="P4" s="70">
        <f>P5</f>
        <v>45719</v>
      </c>
      <c r="Q4" s="71"/>
      <c r="R4" s="71"/>
      <c r="S4" s="71"/>
      <c r="T4" s="71"/>
      <c r="U4" s="71"/>
      <c r="V4" s="72"/>
      <c r="W4" s="70">
        <f>W5</f>
        <v>45726</v>
      </c>
      <c r="X4" s="71"/>
      <c r="Y4" s="71"/>
      <c r="Z4" s="71"/>
      <c r="AA4" s="71"/>
      <c r="AB4" s="71"/>
      <c r="AC4" s="72"/>
      <c r="AD4" s="70">
        <f>AD5</f>
        <v>45733</v>
      </c>
      <c r="AE4" s="71"/>
      <c r="AF4" s="71"/>
      <c r="AG4" s="71"/>
      <c r="AH4" s="71"/>
      <c r="AI4" s="71"/>
      <c r="AJ4" s="72"/>
      <c r="AK4" s="70">
        <f>AK5</f>
        <v>45740</v>
      </c>
      <c r="AL4" s="71"/>
      <c r="AM4" s="71"/>
      <c r="AN4" s="71"/>
      <c r="AO4" s="71"/>
      <c r="AP4" s="71"/>
      <c r="AQ4" s="72"/>
      <c r="AR4" s="70">
        <f>AR5</f>
        <v>45747</v>
      </c>
      <c r="AS4" s="71"/>
      <c r="AT4" s="71"/>
      <c r="AU4" s="71"/>
      <c r="AV4" s="71"/>
      <c r="AW4" s="71"/>
      <c r="AX4" s="72"/>
      <c r="AY4" s="70">
        <f>AY5</f>
        <v>45754</v>
      </c>
      <c r="AZ4" s="71"/>
      <c r="BA4" s="71"/>
      <c r="BB4" s="71"/>
      <c r="BC4" s="71"/>
      <c r="BD4" s="71"/>
      <c r="BE4" s="72"/>
      <c r="BF4" s="70">
        <f>BF5</f>
        <v>45761</v>
      </c>
      <c r="BG4" s="71"/>
      <c r="BH4" s="71"/>
      <c r="BI4" s="71"/>
      <c r="BJ4" s="71"/>
      <c r="BK4" s="71"/>
      <c r="BL4" s="72"/>
    </row>
    <row r="5" spans="1:64" ht="15" customHeight="1" x14ac:dyDescent="0.5">
      <c r="A5" s="33" t="s">
        <v>4</v>
      </c>
      <c r="B5" s="50"/>
      <c r="C5" s="50"/>
      <c r="D5" s="50"/>
      <c r="E5" s="50"/>
      <c r="F5" s="50"/>
      <c r="G5" s="50"/>
      <c r="I5" s="65">
        <f>Projektanfang-WEEKDAY(Projektanfang,1)+2+7*(Anzeigewoche-1)</f>
        <v>45712</v>
      </c>
      <c r="J5" s="66">
        <f>I5+1</f>
        <v>45713</v>
      </c>
      <c r="K5" s="66">
        <f t="shared" ref="K5:AX5" si="0">J5+1</f>
        <v>45714</v>
      </c>
      <c r="L5" s="66">
        <f t="shared" si="0"/>
        <v>45715</v>
      </c>
      <c r="M5" s="66">
        <f t="shared" si="0"/>
        <v>45716</v>
      </c>
      <c r="N5" s="66">
        <f t="shared" si="0"/>
        <v>45717</v>
      </c>
      <c r="O5" s="67">
        <f t="shared" si="0"/>
        <v>45718</v>
      </c>
      <c r="P5" s="65">
        <f>O5+1</f>
        <v>45719</v>
      </c>
      <c r="Q5" s="66">
        <f>P5+1</f>
        <v>45720</v>
      </c>
      <c r="R5" s="66">
        <f t="shared" si="0"/>
        <v>45721</v>
      </c>
      <c r="S5" s="66">
        <f t="shared" si="0"/>
        <v>45722</v>
      </c>
      <c r="T5" s="66">
        <f t="shared" si="0"/>
        <v>45723</v>
      </c>
      <c r="U5" s="66">
        <f t="shared" si="0"/>
        <v>45724</v>
      </c>
      <c r="V5" s="67">
        <f t="shared" si="0"/>
        <v>45725</v>
      </c>
      <c r="W5" s="65">
        <f>V5+1</f>
        <v>45726</v>
      </c>
      <c r="X5" s="66">
        <f>W5+1</f>
        <v>45727</v>
      </c>
      <c r="Y5" s="66">
        <f t="shared" si="0"/>
        <v>45728</v>
      </c>
      <c r="Z5" s="66">
        <f t="shared" si="0"/>
        <v>45729</v>
      </c>
      <c r="AA5" s="66">
        <f t="shared" si="0"/>
        <v>45730</v>
      </c>
      <c r="AB5" s="66">
        <f t="shared" si="0"/>
        <v>45731</v>
      </c>
      <c r="AC5" s="67">
        <f t="shared" si="0"/>
        <v>45732</v>
      </c>
      <c r="AD5" s="65">
        <f>AC5+1</f>
        <v>45733</v>
      </c>
      <c r="AE5" s="66">
        <f>AD5+1</f>
        <v>45734</v>
      </c>
      <c r="AF5" s="66">
        <f t="shared" si="0"/>
        <v>45735</v>
      </c>
      <c r="AG5" s="66">
        <f t="shared" si="0"/>
        <v>45736</v>
      </c>
      <c r="AH5" s="66">
        <f t="shared" si="0"/>
        <v>45737</v>
      </c>
      <c r="AI5" s="66">
        <f t="shared" si="0"/>
        <v>45738</v>
      </c>
      <c r="AJ5" s="67">
        <f t="shared" si="0"/>
        <v>45739</v>
      </c>
      <c r="AK5" s="65">
        <f>AJ5+1</f>
        <v>45740</v>
      </c>
      <c r="AL5" s="66">
        <f>AK5+1</f>
        <v>45741</v>
      </c>
      <c r="AM5" s="66">
        <f t="shared" si="0"/>
        <v>45742</v>
      </c>
      <c r="AN5" s="66">
        <f t="shared" si="0"/>
        <v>45743</v>
      </c>
      <c r="AO5" s="66">
        <f t="shared" si="0"/>
        <v>45744</v>
      </c>
      <c r="AP5" s="66">
        <f t="shared" si="0"/>
        <v>45745</v>
      </c>
      <c r="AQ5" s="67">
        <f t="shared" si="0"/>
        <v>45746</v>
      </c>
      <c r="AR5" s="65">
        <f>AQ5+1</f>
        <v>45747</v>
      </c>
      <c r="AS5" s="66">
        <f>AR5+1</f>
        <v>45748</v>
      </c>
      <c r="AT5" s="66">
        <f t="shared" si="0"/>
        <v>45749</v>
      </c>
      <c r="AU5" s="66">
        <f t="shared" si="0"/>
        <v>45750</v>
      </c>
      <c r="AV5" s="66">
        <f t="shared" si="0"/>
        <v>45751</v>
      </c>
      <c r="AW5" s="66">
        <f t="shared" si="0"/>
        <v>45752</v>
      </c>
      <c r="AX5" s="67">
        <f t="shared" si="0"/>
        <v>45753</v>
      </c>
      <c r="AY5" s="65">
        <f>AX5+1</f>
        <v>45754</v>
      </c>
      <c r="AZ5" s="66">
        <f>AY5+1</f>
        <v>45755</v>
      </c>
      <c r="BA5" s="66">
        <f t="shared" ref="BA5:BE5" si="1">AZ5+1</f>
        <v>45756</v>
      </c>
      <c r="BB5" s="66">
        <f t="shared" si="1"/>
        <v>45757</v>
      </c>
      <c r="BC5" s="66">
        <f t="shared" si="1"/>
        <v>45758</v>
      </c>
      <c r="BD5" s="66">
        <f t="shared" si="1"/>
        <v>45759</v>
      </c>
      <c r="BE5" s="67">
        <f t="shared" si="1"/>
        <v>45760</v>
      </c>
      <c r="BF5" s="65">
        <f>BE5+1</f>
        <v>45761</v>
      </c>
      <c r="BG5" s="66">
        <f>BF5+1</f>
        <v>45762</v>
      </c>
      <c r="BH5" s="66">
        <f t="shared" ref="BH5:BL5" si="2">BG5+1</f>
        <v>45763</v>
      </c>
      <c r="BI5" s="66">
        <f t="shared" si="2"/>
        <v>45764</v>
      </c>
      <c r="BJ5" s="66">
        <f t="shared" si="2"/>
        <v>45765</v>
      </c>
      <c r="BK5" s="66">
        <f t="shared" si="2"/>
        <v>45766</v>
      </c>
      <c r="BL5" s="67">
        <f t="shared" si="2"/>
        <v>45767</v>
      </c>
    </row>
    <row r="6" spans="1:64" ht="30" customHeight="1" thickBot="1" x14ac:dyDescent="0.55000000000000004">
      <c r="A6" s="33" t="s">
        <v>5</v>
      </c>
      <c r="B6" s="8" t="s">
        <v>14</v>
      </c>
      <c r="C6" s="9" t="s">
        <v>18</v>
      </c>
      <c r="D6" s="9" t="s">
        <v>19</v>
      </c>
      <c r="E6" s="9" t="s">
        <v>20</v>
      </c>
      <c r="F6" s="9" t="s">
        <v>21</v>
      </c>
      <c r="G6" s="9"/>
      <c r="H6" s="9" t="s">
        <v>22</v>
      </c>
      <c r="I6" s="10" t="str">
        <f t="shared" ref="I6:AN6" si="3">LEFT(TEXT(I5,"TTT"),1)</f>
        <v>M</v>
      </c>
      <c r="J6" s="10" t="str">
        <f t="shared" si="3"/>
        <v>D</v>
      </c>
      <c r="K6" s="10" t="str">
        <f t="shared" si="3"/>
        <v>M</v>
      </c>
      <c r="L6" s="10" t="str">
        <f t="shared" si="3"/>
        <v>D</v>
      </c>
      <c r="M6" s="10" t="str">
        <f t="shared" si="3"/>
        <v>F</v>
      </c>
      <c r="N6" s="10" t="str">
        <f t="shared" si="3"/>
        <v>S</v>
      </c>
      <c r="O6" s="10" t="str">
        <f t="shared" si="3"/>
        <v>S</v>
      </c>
      <c r="P6" s="10" t="str">
        <f t="shared" si="3"/>
        <v>M</v>
      </c>
      <c r="Q6" s="10" t="str">
        <f t="shared" si="3"/>
        <v>D</v>
      </c>
      <c r="R6" s="10" t="str">
        <f t="shared" si="3"/>
        <v>M</v>
      </c>
      <c r="S6" s="10" t="str">
        <f t="shared" si="3"/>
        <v>D</v>
      </c>
      <c r="T6" s="10" t="str">
        <f t="shared" si="3"/>
        <v>F</v>
      </c>
      <c r="U6" s="10" t="str">
        <f t="shared" si="3"/>
        <v>S</v>
      </c>
      <c r="V6" s="10" t="str">
        <f t="shared" si="3"/>
        <v>S</v>
      </c>
      <c r="W6" s="10" t="str">
        <f t="shared" si="3"/>
        <v>M</v>
      </c>
      <c r="X6" s="10" t="str">
        <f t="shared" si="3"/>
        <v>D</v>
      </c>
      <c r="Y6" s="10" t="str">
        <f t="shared" si="3"/>
        <v>M</v>
      </c>
      <c r="Z6" s="10" t="str">
        <f t="shared" si="3"/>
        <v>D</v>
      </c>
      <c r="AA6" s="10" t="str">
        <f t="shared" si="3"/>
        <v>F</v>
      </c>
      <c r="AB6" s="10" t="str">
        <f t="shared" si="3"/>
        <v>S</v>
      </c>
      <c r="AC6" s="10" t="str">
        <f t="shared" si="3"/>
        <v>S</v>
      </c>
      <c r="AD6" s="10" t="str">
        <f t="shared" si="3"/>
        <v>M</v>
      </c>
      <c r="AE6" s="10" t="str">
        <f t="shared" si="3"/>
        <v>D</v>
      </c>
      <c r="AF6" s="10" t="str">
        <f t="shared" si="3"/>
        <v>M</v>
      </c>
      <c r="AG6" s="10" t="str">
        <f t="shared" si="3"/>
        <v>D</v>
      </c>
      <c r="AH6" s="10" t="str">
        <f t="shared" si="3"/>
        <v>F</v>
      </c>
      <c r="AI6" s="10" t="str">
        <f t="shared" si="3"/>
        <v>S</v>
      </c>
      <c r="AJ6" s="10" t="str">
        <f t="shared" si="3"/>
        <v>S</v>
      </c>
      <c r="AK6" s="10" t="str">
        <f t="shared" si="3"/>
        <v>M</v>
      </c>
      <c r="AL6" s="10" t="str">
        <f t="shared" si="3"/>
        <v>D</v>
      </c>
      <c r="AM6" s="10" t="str">
        <f t="shared" si="3"/>
        <v>M</v>
      </c>
      <c r="AN6" s="10" t="str">
        <f t="shared" si="3"/>
        <v>D</v>
      </c>
      <c r="AO6" s="10" t="str">
        <f t="shared" ref="AO6:BT6" si="4">LEFT(TEXT(AO5,"TTT"),1)</f>
        <v>F</v>
      </c>
      <c r="AP6" s="10" t="str">
        <f t="shared" si="4"/>
        <v>S</v>
      </c>
      <c r="AQ6" s="10" t="str">
        <f t="shared" si="4"/>
        <v>S</v>
      </c>
      <c r="AR6" s="10" t="str">
        <f t="shared" si="4"/>
        <v>M</v>
      </c>
      <c r="AS6" s="10" t="str">
        <f t="shared" si="4"/>
        <v>D</v>
      </c>
      <c r="AT6" s="10" t="str">
        <f t="shared" si="4"/>
        <v>M</v>
      </c>
      <c r="AU6" s="10" t="str">
        <f t="shared" si="4"/>
        <v>D</v>
      </c>
      <c r="AV6" s="10" t="str">
        <f t="shared" si="4"/>
        <v>F</v>
      </c>
      <c r="AW6" s="10" t="str">
        <f t="shared" si="4"/>
        <v>S</v>
      </c>
      <c r="AX6" s="10" t="str">
        <f t="shared" si="4"/>
        <v>S</v>
      </c>
      <c r="AY6" s="10" t="str">
        <f t="shared" si="4"/>
        <v>M</v>
      </c>
      <c r="AZ6" s="10" t="str">
        <f t="shared" si="4"/>
        <v>D</v>
      </c>
      <c r="BA6" s="10" t="str">
        <f t="shared" si="4"/>
        <v>M</v>
      </c>
      <c r="BB6" s="10" t="str">
        <f t="shared" si="4"/>
        <v>D</v>
      </c>
      <c r="BC6" s="10" t="str">
        <f t="shared" si="4"/>
        <v>F</v>
      </c>
      <c r="BD6" s="10" t="str">
        <f t="shared" si="4"/>
        <v>S</v>
      </c>
      <c r="BE6" s="10" t="str">
        <f t="shared" si="4"/>
        <v>S</v>
      </c>
      <c r="BF6" s="10" t="str">
        <f t="shared" si="4"/>
        <v>M</v>
      </c>
      <c r="BG6" s="10" t="str">
        <f t="shared" si="4"/>
        <v>D</v>
      </c>
      <c r="BH6" s="10" t="str">
        <f t="shared" si="4"/>
        <v>M</v>
      </c>
      <c r="BI6" s="10" t="str">
        <f t="shared" si="4"/>
        <v>D</v>
      </c>
      <c r="BJ6" s="10" t="str">
        <f t="shared" si="4"/>
        <v>F</v>
      </c>
      <c r="BK6" s="10" t="str">
        <f t="shared" si="4"/>
        <v>S</v>
      </c>
      <c r="BL6" s="10" t="str">
        <f t="shared" si="4"/>
        <v>S</v>
      </c>
    </row>
    <row r="7" spans="1:64" ht="30" hidden="1" customHeight="1" thickBot="1" x14ac:dyDescent="0.55000000000000004">
      <c r="A7" s="32" t="s">
        <v>6</v>
      </c>
      <c r="C7" s="35"/>
      <c r="E7"/>
      <c r="H7" t="str">
        <f>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row>
    <row r="8" spans="1:64" s="3" customFormat="1" ht="30" customHeight="1" thickBot="1" x14ac:dyDescent="0.55000000000000004">
      <c r="A8" s="33" t="s">
        <v>7</v>
      </c>
      <c r="B8" s="15" t="s">
        <v>25</v>
      </c>
      <c r="C8" s="39"/>
      <c r="D8" s="16"/>
      <c r="E8" s="53"/>
      <c r="F8" s="54"/>
      <c r="G8" s="14"/>
      <c r="H8" s="14" t="str">
        <f t="shared" ref="H8:H41" si="5">IF(OR(ISBLANK(task_start),ISBLANK(task_end)),"",task_end-task_start+1)</f>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row>
    <row r="9" spans="1:64" s="3" customFormat="1" ht="30" customHeight="1" thickBot="1" x14ac:dyDescent="0.55000000000000004">
      <c r="A9" s="33" t="s">
        <v>8</v>
      </c>
      <c r="B9" s="46" t="s">
        <v>28</v>
      </c>
      <c r="C9" s="40" t="s">
        <v>29</v>
      </c>
      <c r="D9" s="17">
        <v>0</v>
      </c>
      <c r="E9" s="55">
        <f>Projektanfang</f>
        <v>45719</v>
      </c>
      <c r="F9" s="55">
        <f>E9+4</f>
        <v>45723</v>
      </c>
      <c r="G9" s="14"/>
      <c r="H9" s="14">
        <f t="shared" si="5"/>
        <v>5</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row>
    <row r="10" spans="1:64" s="3" customFormat="1" ht="30" customHeight="1" thickBot="1" x14ac:dyDescent="0.55000000000000004">
      <c r="A10" s="33" t="s">
        <v>9</v>
      </c>
      <c r="B10" s="46" t="s">
        <v>36</v>
      </c>
      <c r="C10" s="40" t="s">
        <v>29</v>
      </c>
      <c r="D10" s="17">
        <v>0</v>
      </c>
      <c r="E10" s="55">
        <v>45720</v>
      </c>
      <c r="F10" s="55">
        <f>E10</f>
        <v>45720</v>
      </c>
      <c r="G10" s="14"/>
      <c r="H10" s="14">
        <f t="shared" si="5"/>
        <v>1</v>
      </c>
      <c r="I10" s="28"/>
      <c r="J10" s="28"/>
      <c r="K10" s="28"/>
      <c r="L10" s="28"/>
      <c r="M10" s="28"/>
      <c r="N10" s="28"/>
      <c r="O10" s="28"/>
      <c r="P10" s="28"/>
      <c r="Q10" s="28"/>
      <c r="R10" s="28"/>
      <c r="S10" s="28"/>
      <c r="T10" s="28"/>
      <c r="U10" s="29"/>
      <c r="V10" s="29"/>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row>
    <row r="11" spans="1:64" s="3" customFormat="1" ht="30" customHeight="1" thickBot="1" x14ac:dyDescent="0.55000000000000004">
      <c r="A11" s="33"/>
      <c r="B11" s="46" t="s">
        <v>37</v>
      </c>
      <c r="C11" s="40" t="s">
        <v>29</v>
      </c>
      <c r="D11" s="17">
        <v>0</v>
      </c>
      <c r="E11" s="55">
        <v>45720</v>
      </c>
      <c r="F11" s="55">
        <v>45721</v>
      </c>
      <c r="G11" s="14"/>
      <c r="H11" s="14"/>
      <c r="I11" s="28"/>
      <c r="J11" s="28"/>
      <c r="K11" s="28"/>
      <c r="L11" s="28"/>
      <c r="M11" s="28"/>
      <c r="N11" s="28"/>
      <c r="O11" s="28"/>
      <c r="P11" s="28"/>
      <c r="Q11" s="28"/>
      <c r="R11" s="28"/>
      <c r="S11" s="28"/>
      <c r="T11" s="28"/>
      <c r="U11" s="29"/>
      <c r="V11" s="29"/>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row>
    <row r="12" spans="1:64" s="3" customFormat="1" ht="30" customHeight="1" thickBot="1" x14ac:dyDescent="0.55000000000000004">
      <c r="A12" s="32"/>
      <c r="B12" s="46" t="s">
        <v>30</v>
      </c>
      <c r="C12" s="40" t="s">
        <v>29</v>
      </c>
      <c r="D12" s="17">
        <v>0</v>
      </c>
      <c r="E12" s="55">
        <v>45721</v>
      </c>
      <c r="F12" s="55">
        <f>E12</f>
        <v>45721</v>
      </c>
      <c r="G12" s="14"/>
      <c r="H12" s="14">
        <f t="shared" si="5"/>
        <v>1</v>
      </c>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row>
    <row r="13" spans="1:64" s="3" customFormat="1" ht="30" customHeight="1" thickBot="1" x14ac:dyDescent="0.55000000000000004">
      <c r="A13" s="32"/>
      <c r="B13" s="46" t="s">
        <v>32</v>
      </c>
      <c r="C13" s="40" t="s">
        <v>34</v>
      </c>
      <c r="D13" s="17">
        <v>0</v>
      </c>
      <c r="E13" s="55">
        <v>45724</v>
      </c>
      <c r="F13" s="55">
        <v>45725</v>
      </c>
      <c r="G13" s="14"/>
      <c r="H13" s="14">
        <f t="shared" si="5"/>
        <v>2</v>
      </c>
      <c r="I13" s="28"/>
      <c r="J13" s="28"/>
      <c r="K13" s="28"/>
      <c r="L13" s="28"/>
      <c r="M13" s="28"/>
      <c r="N13" s="28"/>
      <c r="O13" s="28"/>
      <c r="P13" s="28"/>
      <c r="Q13" s="28"/>
      <c r="R13" s="28"/>
      <c r="S13" s="28"/>
      <c r="T13" s="28"/>
      <c r="U13" s="28"/>
      <c r="V13" s="28"/>
      <c r="W13" s="28"/>
      <c r="X13" s="28"/>
      <c r="Y13" s="29"/>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row>
    <row r="14" spans="1:64" s="3" customFormat="1" ht="30" customHeight="1" thickBot="1" x14ac:dyDescent="0.55000000000000004">
      <c r="A14" s="32"/>
      <c r="B14" s="80" t="s">
        <v>33</v>
      </c>
      <c r="C14" s="81" t="s">
        <v>34</v>
      </c>
      <c r="D14" s="82">
        <v>0</v>
      </c>
      <c r="E14" s="83">
        <v>45724</v>
      </c>
      <c r="F14" s="83">
        <v>45725</v>
      </c>
      <c r="G14" s="14"/>
      <c r="H14" s="14">
        <f t="shared" si="5"/>
        <v>2</v>
      </c>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row>
    <row r="15" spans="1:64" s="3" customFormat="1" ht="30" customHeight="1" thickBot="1" x14ac:dyDescent="0.55000000000000004">
      <c r="A15" s="32"/>
      <c r="B15" s="76"/>
      <c r="C15" s="77"/>
      <c r="D15" s="78">
        <f>AVERAGE(D9:D14)</f>
        <v>0</v>
      </c>
      <c r="E15" s="79">
        <f>E9</f>
        <v>45719</v>
      </c>
      <c r="F15" s="79">
        <f>F14</f>
        <v>45725</v>
      </c>
      <c r="G15" s="14"/>
      <c r="H15" s="14"/>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row>
    <row r="16" spans="1:64" s="3" customFormat="1" ht="30" customHeight="1" thickBot="1" x14ac:dyDescent="0.55000000000000004">
      <c r="A16" s="33" t="s">
        <v>10</v>
      </c>
      <c r="B16" s="18" t="s">
        <v>26</v>
      </c>
      <c r="C16" s="41"/>
      <c r="D16" s="19"/>
      <c r="E16" s="56"/>
      <c r="F16" s="57"/>
      <c r="G16" s="14"/>
      <c r="H16" s="14" t="str">
        <f t="shared" si="5"/>
        <v/>
      </c>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row>
    <row r="17" spans="1:64" s="3" customFormat="1" ht="30" customHeight="1" thickBot="1" x14ac:dyDescent="0.55000000000000004">
      <c r="A17" s="33"/>
      <c r="B17" s="47" t="s">
        <v>46</v>
      </c>
      <c r="C17" s="42" t="s">
        <v>48</v>
      </c>
      <c r="D17" s="20">
        <v>0</v>
      </c>
      <c r="E17" s="58">
        <f>F15+1</f>
        <v>45726</v>
      </c>
      <c r="F17" s="58">
        <v>45730</v>
      </c>
      <c r="G17" s="14"/>
      <c r="H17" s="14">
        <f t="shared" si="5"/>
        <v>5</v>
      </c>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row>
    <row r="18" spans="1:64" s="3" customFormat="1" ht="30" customHeight="1" thickBot="1" x14ac:dyDescent="0.55000000000000004">
      <c r="A18" s="33"/>
      <c r="B18" s="84" t="s">
        <v>38</v>
      </c>
      <c r="C18" s="42" t="s">
        <v>29</v>
      </c>
      <c r="D18" s="20">
        <v>0</v>
      </c>
      <c r="E18" s="87">
        <v>45731</v>
      </c>
      <c r="F18" s="58">
        <f t="shared" ref="F18:F26" si="6">E18+1</f>
        <v>45732</v>
      </c>
      <c r="G18" s="14"/>
      <c r="H18" s="14"/>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row>
    <row r="19" spans="1:64" s="3" customFormat="1" ht="30" customHeight="1" thickBot="1" x14ac:dyDescent="0.55000000000000004">
      <c r="A19" s="33"/>
      <c r="B19" s="84" t="s">
        <v>46</v>
      </c>
      <c r="C19" s="42" t="s">
        <v>48</v>
      </c>
      <c r="D19" s="20">
        <v>0</v>
      </c>
      <c r="E19" s="87">
        <v>45733</v>
      </c>
      <c r="F19" s="58">
        <v>45737</v>
      </c>
      <c r="G19" s="14"/>
      <c r="H19" s="14"/>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row>
    <row r="20" spans="1:64" s="3" customFormat="1" ht="30" customHeight="1" thickBot="1" x14ac:dyDescent="0.55000000000000004">
      <c r="A20" s="32"/>
      <c r="B20" s="84" t="s">
        <v>39</v>
      </c>
      <c r="C20" s="42" t="s">
        <v>29</v>
      </c>
      <c r="D20" s="20">
        <v>0</v>
      </c>
      <c r="E20" s="87">
        <f>E18+7</f>
        <v>45738</v>
      </c>
      <c r="F20" s="58">
        <f t="shared" si="6"/>
        <v>45739</v>
      </c>
      <c r="G20" s="14"/>
      <c r="H20" s="14">
        <f t="shared" si="5"/>
        <v>2</v>
      </c>
      <c r="I20" s="28"/>
      <c r="J20" s="28"/>
      <c r="K20" s="28"/>
      <c r="L20" s="28"/>
      <c r="M20" s="28"/>
      <c r="N20" s="28"/>
      <c r="O20" s="28"/>
      <c r="P20" s="28"/>
      <c r="Q20" s="28"/>
      <c r="R20" s="28"/>
      <c r="S20" s="28"/>
      <c r="T20" s="28"/>
      <c r="U20" s="29"/>
      <c r="V20" s="29"/>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row>
    <row r="21" spans="1:64" s="3" customFormat="1" ht="30" customHeight="1" thickBot="1" x14ac:dyDescent="0.55000000000000004">
      <c r="A21" s="32"/>
      <c r="B21" s="84" t="s">
        <v>47</v>
      </c>
      <c r="C21" s="42" t="s">
        <v>49</v>
      </c>
      <c r="D21" s="20">
        <v>0</v>
      </c>
      <c r="E21" s="87">
        <v>45726</v>
      </c>
      <c r="F21" s="58">
        <v>45739</v>
      </c>
      <c r="G21" s="14"/>
      <c r="H21" s="14"/>
      <c r="I21" s="28"/>
      <c r="J21" s="28"/>
      <c r="K21" s="28"/>
      <c r="L21" s="28"/>
      <c r="M21" s="28"/>
      <c r="N21" s="28"/>
      <c r="O21" s="28"/>
      <c r="P21" s="28"/>
      <c r="Q21" s="28"/>
      <c r="R21" s="28"/>
      <c r="S21" s="28"/>
      <c r="T21" s="28"/>
      <c r="U21" s="29"/>
      <c r="V21" s="29"/>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row>
    <row r="22" spans="1:64" s="3" customFormat="1" ht="30" customHeight="1" thickBot="1" x14ac:dyDescent="0.55000000000000004">
      <c r="A22" s="32"/>
      <c r="B22" s="84" t="s">
        <v>46</v>
      </c>
      <c r="C22" s="42" t="s">
        <v>29</v>
      </c>
      <c r="D22" s="20">
        <v>0</v>
      </c>
      <c r="E22" s="87">
        <v>45740</v>
      </c>
      <c r="F22" s="58">
        <v>45744</v>
      </c>
      <c r="G22" s="14"/>
      <c r="H22" s="14"/>
      <c r="I22" s="28"/>
      <c r="J22" s="28"/>
      <c r="K22" s="28"/>
      <c r="L22" s="28"/>
      <c r="M22" s="28"/>
      <c r="N22" s="28"/>
      <c r="O22" s="28"/>
      <c r="P22" s="28"/>
      <c r="Q22" s="28"/>
      <c r="R22" s="28"/>
      <c r="S22" s="28"/>
      <c r="T22" s="28"/>
      <c r="U22" s="29"/>
      <c r="V22" s="29"/>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row>
    <row r="23" spans="1:64" s="3" customFormat="1" ht="30" customHeight="1" thickBot="1" x14ac:dyDescent="0.55000000000000004">
      <c r="A23" s="32"/>
      <c r="B23" s="84" t="s">
        <v>45</v>
      </c>
      <c r="C23" s="42" t="s">
        <v>50</v>
      </c>
      <c r="D23" s="20">
        <v>0</v>
      </c>
      <c r="E23" s="87">
        <v>45741</v>
      </c>
      <c r="F23" s="58">
        <v>45744</v>
      </c>
      <c r="G23" s="14"/>
      <c r="H23" s="14"/>
      <c r="I23" s="28"/>
      <c r="J23" s="28"/>
      <c r="K23" s="28"/>
      <c r="L23" s="28"/>
      <c r="M23" s="28"/>
      <c r="N23" s="28"/>
      <c r="O23" s="28"/>
      <c r="P23" s="28"/>
      <c r="Q23" s="28"/>
      <c r="R23" s="28"/>
      <c r="S23" s="28"/>
      <c r="T23" s="28"/>
      <c r="U23" s="29"/>
      <c r="V23" s="29"/>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row>
    <row r="24" spans="1:64" s="3" customFormat="1" ht="30" customHeight="1" thickBot="1" x14ac:dyDescent="0.55000000000000004">
      <c r="A24" s="32"/>
      <c r="B24" s="84" t="s">
        <v>40</v>
      </c>
      <c r="C24" s="42" t="s">
        <v>29</v>
      </c>
      <c r="D24" s="20">
        <v>0</v>
      </c>
      <c r="E24" s="87">
        <f>E20+7</f>
        <v>45745</v>
      </c>
      <c r="F24" s="58">
        <f t="shared" si="6"/>
        <v>45746</v>
      </c>
      <c r="G24" s="14"/>
      <c r="H24" s="14">
        <f t="shared" si="5"/>
        <v>2</v>
      </c>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row>
    <row r="25" spans="1:64" s="3" customFormat="1" ht="30" customHeight="1" thickBot="1" x14ac:dyDescent="0.55000000000000004">
      <c r="A25" s="32"/>
      <c r="B25" s="84" t="s">
        <v>46</v>
      </c>
      <c r="C25" s="42" t="s">
        <v>29</v>
      </c>
      <c r="D25" s="20">
        <v>0</v>
      </c>
      <c r="E25" s="87">
        <v>45747</v>
      </c>
      <c r="F25" s="58">
        <v>45751</v>
      </c>
      <c r="G25" s="14"/>
      <c r="H25" s="14"/>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row>
    <row r="26" spans="1:64" s="3" customFormat="1" ht="30" customHeight="1" thickBot="1" x14ac:dyDescent="0.55000000000000004">
      <c r="A26" s="32"/>
      <c r="B26" s="84" t="s">
        <v>41</v>
      </c>
      <c r="C26" s="42" t="s">
        <v>29</v>
      </c>
      <c r="D26" s="20">
        <v>0</v>
      </c>
      <c r="E26" s="87">
        <f>E24+7</f>
        <v>45752</v>
      </c>
      <c r="F26" s="58">
        <f t="shared" si="6"/>
        <v>45753</v>
      </c>
      <c r="G26" s="14"/>
      <c r="H26" s="14">
        <f t="shared" si="5"/>
        <v>2</v>
      </c>
      <c r="I26" s="28"/>
      <c r="J26" s="28"/>
      <c r="K26" s="28"/>
      <c r="L26" s="28"/>
      <c r="M26" s="28"/>
      <c r="N26" s="28"/>
      <c r="O26" s="28"/>
      <c r="P26" s="28"/>
      <c r="Q26" s="28"/>
      <c r="R26" s="28"/>
      <c r="S26" s="28"/>
      <c r="T26" s="28"/>
      <c r="U26" s="28"/>
      <c r="V26" s="28"/>
      <c r="W26" s="28"/>
      <c r="X26" s="28"/>
      <c r="Y26" s="29"/>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row>
    <row r="27" spans="1:64" s="3" customFormat="1" ht="30" customHeight="1" thickBot="1" x14ac:dyDescent="0.55000000000000004">
      <c r="A27" s="32"/>
      <c r="B27" s="84" t="s">
        <v>46</v>
      </c>
      <c r="C27" s="42" t="s">
        <v>29</v>
      </c>
      <c r="D27" s="92">
        <v>0</v>
      </c>
      <c r="E27" s="87">
        <v>45754</v>
      </c>
      <c r="F27" s="58">
        <v>45758</v>
      </c>
      <c r="G27" s="14"/>
      <c r="H27" s="14"/>
      <c r="I27" s="28"/>
      <c r="J27" s="28"/>
      <c r="K27" s="28"/>
      <c r="L27" s="28"/>
      <c r="M27" s="28"/>
      <c r="N27" s="28"/>
      <c r="O27" s="28"/>
      <c r="P27" s="28"/>
      <c r="Q27" s="28"/>
      <c r="R27" s="28"/>
      <c r="S27" s="28"/>
      <c r="T27" s="28"/>
      <c r="U27" s="28"/>
      <c r="V27" s="28"/>
      <c r="W27" s="28"/>
      <c r="X27" s="28"/>
      <c r="Y27" s="29"/>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row>
    <row r="28" spans="1:64" s="3" customFormat="1" ht="30" customHeight="1" thickBot="1" x14ac:dyDescent="0.55000000000000004">
      <c r="A28" s="32"/>
      <c r="B28" s="84" t="s">
        <v>42</v>
      </c>
      <c r="C28" s="42" t="s">
        <v>29</v>
      </c>
      <c r="D28" s="92">
        <v>0</v>
      </c>
      <c r="E28" s="87">
        <f>E26+7</f>
        <v>45759</v>
      </c>
      <c r="F28" s="58">
        <f>E28+1</f>
        <v>45760</v>
      </c>
      <c r="G28" s="14"/>
      <c r="H28" s="14"/>
      <c r="I28" s="28"/>
      <c r="J28" s="28"/>
      <c r="K28" s="28"/>
      <c r="L28" s="28"/>
      <c r="M28" s="28"/>
      <c r="N28" s="28"/>
      <c r="O28" s="28"/>
      <c r="P28" s="28"/>
      <c r="Q28" s="28"/>
      <c r="R28" s="28"/>
      <c r="S28" s="28"/>
      <c r="T28" s="28"/>
      <c r="U28" s="28"/>
      <c r="V28" s="28"/>
      <c r="W28" s="28"/>
      <c r="X28" s="28"/>
      <c r="Y28" s="29"/>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row>
    <row r="29" spans="1:64" s="3" customFormat="1" ht="30" customHeight="1" thickBot="1" x14ac:dyDescent="0.55000000000000004">
      <c r="A29" s="32"/>
      <c r="B29" s="84" t="s">
        <v>46</v>
      </c>
      <c r="C29" s="42" t="s">
        <v>29</v>
      </c>
      <c r="D29" s="92">
        <v>0</v>
      </c>
      <c r="E29" s="87">
        <v>45761</v>
      </c>
      <c r="F29" s="58">
        <v>45765</v>
      </c>
      <c r="G29" s="14"/>
      <c r="H29" s="14"/>
      <c r="I29" s="28"/>
      <c r="J29" s="28"/>
      <c r="K29" s="28"/>
      <c r="L29" s="28"/>
      <c r="M29" s="28"/>
      <c r="N29" s="28"/>
      <c r="O29" s="28"/>
      <c r="P29" s="28"/>
      <c r="Q29" s="28"/>
      <c r="R29" s="28"/>
      <c r="S29" s="28"/>
      <c r="T29" s="28"/>
      <c r="U29" s="28"/>
      <c r="V29" s="28"/>
      <c r="W29" s="28"/>
      <c r="X29" s="28"/>
      <c r="Y29" s="29"/>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row>
    <row r="30" spans="1:64" s="3" customFormat="1" ht="30" customHeight="1" thickBot="1" x14ac:dyDescent="0.55000000000000004">
      <c r="A30" s="32"/>
      <c r="B30" s="84" t="s">
        <v>51</v>
      </c>
      <c r="C30" s="42" t="s">
        <v>50</v>
      </c>
      <c r="D30" s="92">
        <v>0</v>
      </c>
      <c r="E30" s="87">
        <v>45762</v>
      </c>
      <c r="F30" s="58">
        <v>45765</v>
      </c>
      <c r="G30" s="14"/>
      <c r="H30" s="14"/>
      <c r="I30" s="28"/>
      <c r="J30" s="28"/>
      <c r="K30" s="28"/>
      <c r="L30" s="28"/>
      <c r="M30" s="28"/>
      <c r="N30" s="28"/>
      <c r="O30" s="28"/>
      <c r="P30" s="28"/>
      <c r="Q30" s="28"/>
      <c r="R30" s="28"/>
      <c r="S30" s="28"/>
      <c r="T30" s="28"/>
      <c r="U30" s="28"/>
      <c r="V30" s="28"/>
      <c r="W30" s="28"/>
      <c r="X30" s="28"/>
      <c r="Y30" s="29"/>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row>
    <row r="31" spans="1:64" s="3" customFormat="1" ht="30" customHeight="1" thickBot="1" x14ac:dyDescent="0.55000000000000004">
      <c r="A31" s="32"/>
      <c r="B31" s="84" t="s">
        <v>43</v>
      </c>
      <c r="C31" s="42" t="s">
        <v>29</v>
      </c>
      <c r="D31" s="92">
        <v>0</v>
      </c>
      <c r="E31" s="87">
        <f>E28+7</f>
        <v>45766</v>
      </c>
      <c r="F31" s="58">
        <f t="shared" ref="F31:F33" si="7">E31+1</f>
        <v>45767</v>
      </c>
      <c r="G31" s="14"/>
      <c r="H31" s="14"/>
      <c r="I31" s="28"/>
      <c r="J31" s="28"/>
      <c r="K31" s="28"/>
      <c r="L31" s="28"/>
      <c r="M31" s="28"/>
      <c r="N31" s="28"/>
      <c r="O31" s="28"/>
      <c r="P31" s="28"/>
      <c r="Q31" s="28"/>
      <c r="R31" s="28"/>
      <c r="S31" s="28"/>
      <c r="T31" s="28"/>
      <c r="U31" s="28"/>
      <c r="V31" s="28"/>
      <c r="W31" s="28"/>
      <c r="X31" s="28"/>
      <c r="Y31" s="29"/>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row>
    <row r="32" spans="1:64" s="3" customFormat="1" ht="30" customHeight="1" thickBot="1" x14ac:dyDescent="0.55000000000000004">
      <c r="A32" s="32"/>
      <c r="B32" s="84" t="s">
        <v>46</v>
      </c>
      <c r="C32" s="42" t="s">
        <v>29</v>
      </c>
      <c r="D32" s="92">
        <v>0</v>
      </c>
      <c r="E32" s="87">
        <v>45768</v>
      </c>
      <c r="F32" s="58">
        <v>45772</v>
      </c>
      <c r="G32" s="14"/>
      <c r="H32" s="14"/>
      <c r="I32" s="28"/>
      <c r="J32" s="28"/>
      <c r="K32" s="28"/>
      <c r="L32" s="28"/>
      <c r="M32" s="28"/>
      <c r="N32" s="28"/>
      <c r="O32" s="28"/>
      <c r="P32" s="28"/>
      <c r="Q32" s="28"/>
      <c r="R32" s="28"/>
      <c r="S32" s="28"/>
      <c r="T32" s="28"/>
      <c r="U32" s="28"/>
      <c r="V32" s="28"/>
      <c r="W32" s="28"/>
      <c r="X32" s="28"/>
      <c r="Y32" s="29"/>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row>
    <row r="33" spans="1:64" s="3" customFormat="1" ht="30" customHeight="1" thickBot="1" x14ac:dyDescent="0.55000000000000004">
      <c r="A33" s="32"/>
      <c r="B33" s="84" t="s">
        <v>44</v>
      </c>
      <c r="C33" s="85" t="s">
        <v>29</v>
      </c>
      <c r="D33" s="86">
        <v>0</v>
      </c>
      <c r="E33" s="87">
        <f>E31+7</f>
        <v>45773</v>
      </c>
      <c r="F33" s="87">
        <f t="shared" si="7"/>
        <v>45774</v>
      </c>
      <c r="G33" s="14"/>
      <c r="H33" s="14">
        <f t="shared" si="5"/>
        <v>2</v>
      </c>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row>
    <row r="34" spans="1:64" s="3" customFormat="1" ht="30" customHeight="1" thickBot="1" x14ac:dyDescent="0.55000000000000004">
      <c r="A34" s="32"/>
      <c r="B34" s="88"/>
      <c r="C34" s="89"/>
      <c r="D34" s="90">
        <f>AVERAGE(D17:D33)</f>
        <v>0</v>
      </c>
      <c r="E34" s="91">
        <f>E17</f>
        <v>45726</v>
      </c>
      <c r="F34" s="91">
        <f>F33</f>
        <v>45774</v>
      </c>
      <c r="G34" s="14"/>
      <c r="H34" s="14"/>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row>
    <row r="35" spans="1:64" s="3" customFormat="1" ht="30" customHeight="1" thickBot="1" x14ac:dyDescent="0.55000000000000004">
      <c r="A35" s="32" t="s">
        <v>11</v>
      </c>
      <c r="B35" s="21" t="s">
        <v>27</v>
      </c>
      <c r="C35" s="43"/>
      <c r="D35" s="22"/>
      <c r="E35" s="59"/>
      <c r="F35" s="60"/>
      <c r="G35" s="14"/>
      <c r="H35" s="14" t="str">
        <f t="shared" si="5"/>
        <v/>
      </c>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row>
    <row r="36" spans="1:64" s="3" customFormat="1" ht="30" customHeight="1" thickBot="1" x14ac:dyDescent="0.55000000000000004">
      <c r="A36" s="32"/>
      <c r="B36" s="48" t="s">
        <v>53</v>
      </c>
      <c r="C36" s="44" t="s">
        <v>50</v>
      </c>
      <c r="D36" s="23">
        <v>0</v>
      </c>
      <c r="E36" s="61">
        <v>45775</v>
      </c>
      <c r="F36" s="61">
        <v>45779</v>
      </c>
      <c r="G36" s="14"/>
      <c r="H36" s="14">
        <f t="shared" si="5"/>
        <v>5</v>
      </c>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row>
    <row r="37" spans="1:64" s="3" customFormat="1" ht="30" customHeight="1" thickBot="1" x14ac:dyDescent="0.55000000000000004">
      <c r="A37" s="32"/>
      <c r="B37" s="48" t="s">
        <v>52</v>
      </c>
      <c r="C37" s="44" t="s">
        <v>29</v>
      </c>
      <c r="D37" s="23">
        <v>0</v>
      </c>
      <c r="E37" s="61">
        <v>45780</v>
      </c>
      <c r="F37" s="61">
        <v>45781</v>
      </c>
      <c r="G37" s="14"/>
      <c r="H37" s="14">
        <f t="shared" si="5"/>
        <v>2</v>
      </c>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row>
    <row r="38" spans="1:64" s="3" customFormat="1" ht="30" customHeight="1" thickBot="1" x14ac:dyDescent="0.55000000000000004">
      <c r="A38" s="32"/>
      <c r="B38" s="93" t="s">
        <v>35</v>
      </c>
      <c r="C38" s="94" t="s">
        <v>50</v>
      </c>
      <c r="D38" s="95">
        <v>0</v>
      </c>
      <c r="E38" s="96">
        <v>45782</v>
      </c>
      <c r="F38" s="96">
        <v>45782</v>
      </c>
      <c r="G38" s="14"/>
      <c r="H38" s="14">
        <f t="shared" si="5"/>
        <v>1</v>
      </c>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row>
    <row r="39" spans="1:64" s="3" customFormat="1" ht="30" customHeight="1" thickBot="1" x14ac:dyDescent="0.55000000000000004">
      <c r="A39" s="32"/>
      <c r="B39" s="97"/>
      <c r="C39" s="98"/>
      <c r="D39" s="99">
        <f>AVERAGE(D36:D38)</f>
        <v>0</v>
      </c>
      <c r="E39" s="100">
        <f>E36</f>
        <v>45775</v>
      </c>
      <c r="F39" s="100">
        <f>F38</f>
        <v>45782</v>
      </c>
      <c r="G39" s="14"/>
      <c r="H39" s="14"/>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row>
    <row r="40" spans="1:64" s="3" customFormat="1" ht="30" customHeight="1" thickBot="1" x14ac:dyDescent="0.55000000000000004">
      <c r="A40" s="32" t="s">
        <v>12</v>
      </c>
      <c r="B40" s="49"/>
      <c r="C40" s="45"/>
      <c r="D40" s="13"/>
      <c r="E40" s="62"/>
      <c r="F40" s="62"/>
      <c r="G40" s="14"/>
      <c r="H40" s="14" t="str">
        <f t="shared" si="5"/>
        <v/>
      </c>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row>
    <row r="41" spans="1:64" s="3" customFormat="1" ht="30" customHeight="1" thickBot="1" x14ac:dyDescent="0.55000000000000004">
      <c r="A41" s="33" t="s">
        <v>13</v>
      </c>
      <c r="B41" s="24" t="s">
        <v>15</v>
      </c>
      <c r="C41" s="25"/>
      <c r="D41" s="26"/>
      <c r="E41" s="63"/>
      <c r="F41" s="64"/>
      <c r="G41" s="27"/>
      <c r="H41" s="27" t="str">
        <f t="shared" si="5"/>
        <v/>
      </c>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row>
    <row r="42" spans="1:64" ht="30" customHeight="1" x14ac:dyDescent="0.5">
      <c r="G42" s="6"/>
    </row>
    <row r="43" spans="1:64" ht="30" customHeight="1" x14ac:dyDescent="0.5">
      <c r="C43" s="11"/>
      <c r="F43" s="34"/>
    </row>
    <row r="44" spans="1:64" ht="30" customHeight="1" x14ac:dyDescent="0.5">
      <c r="C44" s="12"/>
    </row>
  </sheetData>
  <mergeCells count="11">
    <mergeCell ref="BF4:BL4"/>
    <mergeCell ref="E3:F3"/>
    <mergeCell ref="I4:O4"/>
    <mergeCell ref="P4:V4"/>
    <mergeCell ref="W4:AC4"/>
    <mergeCell ref="AD4:AJ4"/>
    <mergeCell ref="C3:D3"/>
    <mergeCell ref="C4:D4"/>
    <mergeCell ref="AK4:AQ4"/>
    <mergeCell ref="AR4:AX4"/>
    <mergeCell ref="AY4:BE4"/>
  </mergeCells>
  <phoneticPr fontId="31" type="noConversion"/>
  <conditionalFormatting sqref="D7:D41">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41">
    <cfRule type="expression" dxfId="2" priority="33">
      <formula>AND(TODAY()&gt;=I$5,TODAY()&lt;J$5)</formula>
    </cfRule>
  </conditionalFormatting>
  <conditionalFormatting sqref="I7:BL41">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Woche anzeigen" prompt="Das Ändern dieser Zahl bewirkt ein Scrollen in der Gantt-Diagrammansicht." sqref="E4"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6</vt:i4>
      </vt:variant>
    </vt:vector>
  </HeadingPairs>
  <TitlesOfParts>
    <vt:vector size="7" baseType="lpstr">
      <vt:lpstr>Projektplan</vt:lpstr>
      <vt:lpstr>Anzeigewoche</vt:lpstr>
      <vt:lpstr>Projektplan!Drucktitel</vt:lpstr>
      <vt:lpstr>Projektanfang</vt:lpstr>
      <vt:lpstr>Projektplan!task_end</vt:lpstr>
      <vt:lpstr>Projektplan!task_progress</vt:lpstr>
      <vt:lpstr>Projektplan!task_start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2025-02-25T12:48:00Z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